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source\repos\Artemis-EFT\CyNickal Software EFT\Maps\"/>
    </mc:Choice>
  </mc:AlternateContent>
  <xr:revisionPtr revIDLastSave="0" documentId="13_ncr:1_{DCE9EFE1-3AE9-421E-9E40-15DECD744C21}" xr6:coauthVersionLast="47" xr6:coauthVersionMax="47" xr10:uidLastSave="{00000000-0000-0000-0000-000000000000}"/>
  <bookViews>
    <workbookView xWindow="-120" yWindow="-120" windowWidth="29040" windowHeight="15840" activeTab="6" xr2:uid="{6A3A7C27-060D-4465-BDCE-114A507333AA}"/>
  </bookViews>
  <sheets>
    <sheet name="Factory" sheetId="5" r:id="rId1"/>
    <sheet name="Customs" sheetId="4" r:id="rId2"/>
    <sheet name="Reserve" sheetId="3" r:id="rId3"/>
    <sheet name="Woods" sheetId="2" r:id="rId4"/>
    <sheet name="Shoreline" sheetId="6" r:id="rId5"/>
    <sheet name="Ground Zero" sheetId="7" r:id="rId6"/>
    <sheet name="Streets" sheetId="8" r:id="rId7"/>
    <sheet name="Interchange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8" l="1"/>
  <c r="B6" i="8"/>
  <c r="C5" i="8"/>
  <c r="B5" i="8"/>
  <c r="C6" i="7"/>
  <c r="B6" i="7"/>
  <c r="C5" i="7"/>
  <c r="B5" i="7"/>
  <c r="C6" i="6"/>
  <c r="B6" i="6"/>
  <c r="C5" i="6"/>
  <c r="B5" i="6"/>
  <c r="C6" i="2"/>
  <c r="B6" i="2"/>
  <c r="C5" i="2"/>
  <c r="B5" i="2"/>
  <c r="C6" i="3"/>
  <c r="B6" i="3"/>
  <c r="C5" i="3"/>
  <c r="B5" i="3"/>
  <c r="C6" i="4"/>
  <c r="B6" i="4"/>
  <c r="C5" i="4"/>
  <c r="B5" i="4"/>
  <c r="B6" i="5"/>
  <c r="C6" i="5"/>
  <c r="B5" i="5"/>
  <c r="C5" i="5"/>
  <c r="C6" i="1"/>
  <c r="C5" i="1"/>
  <c r="B6" i="1"/>
  <c r="B5" i="1"/>
  <c r="C7" i="8" l="1"/>
  <c r="B7" i="8"/>
  <c r="C7" i="7"/>
  <c r="B7" i="7"/>
  <c r="B8" i="7" s="1"/>
  <c r="C13" i="7" s="1"/>
  <c r="C14" i="7" s="1"/>
  <c r="B17" i="7" s="1"/>
  <c r="C7" i="6"/>
  <c r="B7" i="6"/>
  <c r="C7" i="2"/>
  <c r="B7" i="2"/>
  <c r="C7" i="3"/>
  <c r="B7" i="3"/>
  <c r="C7" i="4"/>
  <c r="B7" i="4"/>
  <c r="B8" i="4" s="1"/>
  <c r="B13" i="4" s="1"/>
  <c r="B14" i="4" s="1"/>
  <c r="B16" i="4" s="1"/>
  <c r="C7" i="5"/>
  <c r="B7" i="5"/>
  <c r="C7" i="1"/>
  <c r="B7" i="1"/>
  <c r="B8" i="8" l="1"/>
  <c r="C13" i="8" s="1"/>
  <c r="C14" i="8" s="1"/>
  <c r="B17" i="8" s="1"/>
  <c r="B20" i="8" s="1"/>
  <c r="C20" i="8" s="1"/>
  <c r="G19" i="8" s="1"/>
  <c r="B13" i="7"/>
  <c r="B14" i="7" s="1"/>
  <c r="B16" i="7" s="1"/>
  <c r="B19" i="7" s="1"/>
  <c r="C19" i="7" s="1"/>
  <c r="F19" i="7" s="1"/>
  <c r="B20" i="7"/>
  <c r="C20" i="7" s="1"/>
  <c r="G19" i="7" s="1"/>
  <c r="C17" i="7"/>
  <c r="G16" i="7" s="1"/>
  <c r="B8" i="6"/>
  <c r="C13" i="6" s="1"/>
  <c r="C14" i="6" s="1"/>
  <c r="B17" i="6" s="1"/>
  <c r="B20" i="6" s="1"/>
  <c r="C20" i="6" s="1"/>
  <c r="G19" i="6" s="1"/>
  <c r="B8" i="2"/>
  <c r="C13" i="2" s="1"/>
  <c r="C14" i="2" s="1"/>
  <c r="B17" i="2" s="1"/>
  <c r="B20" i="2" s="1"/>
  <c r="C20" i="2" s="1"/>
  <c r="G19" i="2" s="1"/>
  <c r="B8" i="3"/>
  <c r="C13" i="3" s="1"/>
  <c r="C14" i="3" s="1"/>
  <c r="B17" i="3" s="1"/>
  <c r="C13" i="4"/>
  <c r="C14" i="4" s="1"/>
  <c r="B17" i="4" s="1"/>
  <c r="B20" i="4" s="1"/>
  <c r="C20" i="4" s="1"/>
  <c r="G19" i="4" s="1"/>
  <c r="B19" i="4"/>
  <c r="C19" i="4" s="1"/>
  <c r="F19" i="4" s="1"/>
  <c r="C16" i="4"/>
  <c r="F16" i="4" s="1"/>
  <c r="B8" i="5"/>
  <c r="C13" i="5" s="1"/>
  <c r="C14" i="5" s="1"/>
  <c r="B17" i="5" s="1"/>
  <c r="B20" i="5" s="1"/>
  <c r="B8" i="1"/>
  <c r="C21" i="1" s="1"/>
  <c r="B11" i="1"/>
  <c r="B12" i="1" s="1"/>
  <c r="B14" i="1" s="1"/>
  <c r="C20" i="1"/>
  <c r="C17" i="8" l="1"/>
  <c r="G16" i="8" s="1"/>
  <c r="B13" i="8"/>
  <c r="B14" i="8" s="1"/>
  <c r="B16" i="8" s="1"/>
  <c r="C16" i="8" s="1"/>
  <c r="F16" i="8" s="1"/>
  <c r="C16" i="7"/>
  <c r="F16" i="7" s="1"/>
  <c r="C17" i="6"/>
  <c r="G16" i="6" s="1"/>
  <c r="B13" i="6"/>
  <c r="B14" i="6" s="1"/>
  <c r="B16" i="6" s="1"/>
  <c r="B19" i="6" s="1"/>
  <c r="C19" i="6" s="1"/>
  <c r="F19" i="6" s="1"/>
  <c r="C17" i="2"/>
  <c r="G16" i="2" s="1"/>
  <c r="B13" i="2"/>
  <c r="B14" i="2" s="1"/>
  <c r="B16" i="2" s="1"/>
  <c r="B19" i="2" s="1"/>
  <c r="C19" i="2" s="1"/>
  <c r="F19" i="2" s="1"/>
  <c r="B13" i="3"/>
  <c r="B14" i="3" s="1"/>
  <c r="B16" i="3" s="1"/>
  <c r="B19" i="3" s="1"/>
  <c r="C19" i="3" s="1"/>
  <c r="F19" i="3" s="1"/>
  <c r="B20" i="3"/>
  <c r="C20" i="3" s="1"/>
  <c r="G19" i="3" s="1"/>
  <c r="C17" i="3"/>
  <c r="G16" i="3" s="1"/>
  <c r="C17" i="4"/>
  <c r="G16" i="4" s="1"/>
  <c r="B13" i="5"/>
  <c r="B14" i="5" s="1"/>
  <c r="B16" i="5" s="1"/>
  <c r="B19" i="5" s="1"/>
  <c r="C19" i="5" s="1"/>
  <c r="F19" i="5" s="1"/>
  <c r="C17" i="5"/>
  <c r="G16" i="5" s="1"/>
  <c r="C20" i="5"/>
  <c r="G19" i="5" s="1"/>
  <c r="B17" i="1"/>
  <c r="C17" i="1" s="1"/>
  <c r="C11" i="1"/>
  <c r="C12" i="1" s="1"/>
  <c r="B15" i="1" s="1"/>
  <c r="C15" i="1" s="1"/>
  <c r="C14" i="1"/>
  <c r="B19" i="8" l="1"/>
  <c r="C19" i="8" s="1"/>
  <c r="F19" i="8" s="1"/>
  <c r="C16" i="6"/>
  <c r="F16" i="6" s="1"/>
  <c r="C16" i="2"/>
  <c r="F16" i="2" s="1"/>
  <c r="C16" i="3"/>
  <c r="F16" i="3" s="1"/>
  <c r="C16" i="5"/>
  <c r="F16" i="5" s="1"/>
  <c r="B18" i="1"/>
  <c r="C18" i="1" s="1"/>
</calcChain>
</file>

<file path=xl/sharedStrings.xml><?xml version="1.0" encoding="utf-8"?>
<sst xmlns="http://schemas.openxmlformats.org/spreadsheetml/2006/main" count="128" uniqueCount="18">
  <si>
    <t>Point 1</t>
  </si>
  <si>
    <t>Point 2</t>
  </si>
  <si>
    <t>X</t>
  </si>
  <si>
    <t>Game X</t>
  </si>
  <si>
    <t>Game Z</t>
  </si>
  <si>
    <t>Screen X</t>
  </si>
  <si>
    <t>Screen Y</t>
  </si>
  <si>
    <t>Game Delta</t>
  </si>
  <si>
    <t>Screen Delta</t>
  </si>
  <si>
    <t>Pixels Per Game Unit</t>
  </si>
  <si>
    <t>Game 0,0</t>
  </si>
  <si>
    <t>w</t>
  </si>
  <si>
    <t>Inputs</t>
  </si>
  <si>
    <t>Z</t>
  </si>
  <si>
    <t>Top Left Coords</t>
  </si>
  <si>
    <t>Bottom Right Coords</t>
  </si>
  <si>
    <t>Canvas Size</t>
  </si>
  <si>
    <t>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</si>
</sst>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7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  <xf numFmtId="164" fontId="2" fillId="0" borderId="0" xfId="0" applyNumberFormat="1" applyFont="1"/>
    <xf numFmtId="1" fontId="0" fillId="0" borderId="0" xfId="0" applyNumberFormat="1"/>
    <xf numFmtId="1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F44C-F1C8-40F5-A746-B9EE68A54E4B}">
  <dimension ref="A1:G23"/>
  <sheetViews>
    <sheetView zoomScale="130" zoomScaleNormal="130" workbookViewId="0">
      <selection activeCell="E9" sqref="E9"/>
    </sheetView>
  </sheetViews>
  <sheetFormatPr defaultRowHeight="15" x14ac:dyDescent="0.25"/>
  <cols>
    <col min="1" max="1" width="20" bestFit="1" customWidth="1"/>
    <col min="2" max="2" width="9.42578125" bestFit="1" customWidth="1"/>
    <col min="3" max="3" width="7.5703125" bestFit="1" customWidth="1"/>
    <col min="4" max="4" width="8.42578125" bestFit="1" customWidth="1"/>
    <col min="5" max="5" width="20" bestFit="1" customWidth="1"/>
    <col min="6" max="7" width="6.28515625" bestFit="1" customWidth="1"/>
  </cols>
  <sheetData>
    <row r="1" spans="1:7" x14ac:dyDescent="0.25">
      <c r="B1" t="s">
        <v>3</v>
      </c>
      <c r="C1" t="s">
        <v>4</v>
      </c>
      <c r="D1" t="s">
        <v>5</v>
      </c>
      <c r="E1" t="s">
        <v>6</v>
      </c>
    </row>
    <row r="2" spans="1:7" x14ac:dyDescent="0.25">
      <c r="A2" t="s">
        <v>0</v>
      </c>
      <c r="B2">
        <v>-52.85</v>
      </c>
      <c r="C2">
        <v>59</v>
      </c>
      <c r="D2">
        <v>682</v>
      </c>
      <c r="E2">
        <v>516</v>
      </c>
    </row>
    <row r="3" spans="1:7" x14ac:dyDescent="0.25">
      <c r="A3" t="s">
        <v>1</v>
      </c>
      <c r="B3">
        <v>73.52</v>
      </c>
      <c r="C3">
        <v>-51.5</v>
      </c>
      <c r="D3">
        <v>7927</v>
      </c>
      <c r="E3">
        <v>6850</v>
      </c>
    </row>
    <row r="5" spans="1:7" x14ac:dyDescent="0.25">
      <c r="A5" t="s">
        <v>7</v>
      </c>
      <c r="B5">
        <f>B2-B3</f>
        <v>-126.37</v>
      </c>
      <c r="C5">
        <f>C2-C3</f>
        <v>110.5</v>
      </c>
    </row>
    <row r="6" spans="1:7" x14ac:dyDescent="0.25">
      <c r="A6" t="s">
        <v>8</v>
      </c>
      <c r="B6">
        <f>D2-D3</f>
        <v>-7245</v>
      </c>
      <c r="C6">
        <f>E2-E3</f>
        <v>-6334</v>
      </c>
    </row>
    <row r="7" spans="1:7" x14ac:dyDescent="0.25">
      <c r="B7" s="5">
        <f>ABS(B6/B5)</f>
        <v>57.331645168948327</v>
      </c>
      <c r="C7" s="5">
        <f>ABS(C6/C5)</f>
        <v>57.321266968325794</v>
      </c>
    </row>
    <row r="8" spans="1:7" ht="15.75" customHeight="1" x14ac:dyDescent="0.25">
      <c r="A8" s="1" t="s">
        <v>9</v>
      </c>
      <c r="B8" s="2">
        <f>AVERAGE(B7:C7)</f>
        <v>57.326456068637057</v>
      </c>
    </row>
    <row r="9" spans="1:7" ht="15.75" customHeight="1" x14ac:dyDescent="0.25">
      <c r="A9" s="1"/>
      <c r="B9" s="2"/>
    </row>
    <row r="10" spans="1:7" ht="15.75" customHeight="1" x14ac:dyDescent="0.25">
      <c r="A10" s="3" t="s">
        <v>16</v>
      </c>
      <c r="B10" s="8">
        <v>8000</v>
      </c>
      <c r="C10" s="3">
        <v>7541</v>
      </c>
    </row>
    <row r="12" spans="1:7" x14ac:dyDescent="0.25">
      <c r="B12" t="s">
        <v>2</v>
      </c>
      <c r="C12" t="s">
        <v>13</v>
      </c>
    </row>
    <row r="13" spans="1:7" x14ac:dyDescent="0.25">
      <c r="A13" s="1" t="s">
        <v>10</v>
      </c>
      <c r="B13" s="4">
        <f>D3-(B3*$B$8)</f>
        <v>3712.3589498338042</v>
      </c>
      <c r="C13" s="4">
        <f>E3+(C3*$B$8)</f>
        <v>3897.6875124651915</v>
      </c>
    </row>
    <row r="14" spans="1:7" x14ac:dyDescent="0.25">
      <c r="A14" s="3" t="s">
        <v>17</v>
      </c>
      <c r="B14">
        <f>ROUND(B13,0)</f>
        <v>3712</v>
      </c>
      <c r="C14">
        <f>ROUND(C13,0)</f>
        <v>3898</v>
      </c>
    </row>
    <row r="16" spans="1:7" x14ac:dyDescent="0.25">
      <c r="B16">
        <f>B14</f>
        <v>3712</v>
      </c>
      <c r="C16" s="4">
        <f>(B16/$B$8)</f>
        <v>64.751953191657563</v>
      </c>
      <c r="E16" s="6" t="s">
        <v>14</v>
      </c>
      <c r="F16" s="7">
        <f>C16*-1</f>
        <v>-64.751953191657563</v>
      </c>
      <c r="G16" s="7">
        <f>C17</f>
        <v>67.996528432403323</v>
      </c>
    </row>
    <row r="17" spans="2:7" x14ac:dyDescent="0.25">
      <c r="B17">
        <f>C14</f>
        <v>3898</v>
      </c>
      <c r="C17" s="4">
        <f>(B17/$B$8)</f>
        <v>67.996528432403323</v>
      </c>
    </row>
    <row r="18" spans="2:7" x14ac:dyDescent="0.25">
      <c r="C18" s="4"/>
    </row>
    <row r="19" spans="2:7" x14ac:dyDescent="0.25">
      <c r="B19" s="5">
        <f>B10-B16</f>
        <v>4288</v>
      </c>
      <c r="C19" s="4">
        <f>(B19/$B$8)</f>
        <v>74.799670066225104</v>
      </c>
      <c r="E19" s="6" t="s">
        <v>15</v>
      </c>
      <c r="F19" s="7">
        <f>C19</f>
        <v>74.799670066225104</v>
      </c>
      <c r="G19" s="7">
        <f>C20*-1</f>
        <v>-63.548320441058316</v>
      </c>
    </row>
    <row r="20" spans="2:7" x14ac:dyDescent="0.25">
      <c r="B20">
        <f>C10-B17</f>
        <v>3643</v>
      </c>
      <c r="C20" s="4">
        <f>(B20/$B$8)</f>
        <v>63.548320441058316</v>
      </c>
    </row>
    <row r="21" spans="2:7" x14ac:dyDescent="0.25">
      <c r="C21" s="4"/>
    </row>
    <row r="22" spans="2:7" x14ac:dyDescent="0.25">
      <c r="C22" s="4"/>
    </row>
    <row r="23" spans="2:7" x14ac:dyDescent="0.25">
      <c r="C2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C54A-0852-4BAE-B7B4-5E79F253AE34}">
  <dimension ref="A1:G23"/>
  <sheetViews>
    <sheetView zoomScale="160" zoomScaleNormal="160" workbookViewId="0">
      <selection activeCell="B28" sqref="B28"/>
    </sheetView>
  </sheetViews>
  <sheetFormatPr defaultRowHeight="15" x14ac:dyDescent="0.25"/>
  <cols>
    <col min="1" max="1" width="20" bestFit="1" customWidth="1"/>
    <col min="2" max="3" width="14.28515625" bestFit="1" customWidth="1"/>
    <col min="4" max="4" width="8.42578125" bestFit="1" customWidth="1"/>
    <col min="5" max="5" width="20" bestFit="1" customWidth="1"/>
    <col min="6" max="7" width="7.42578125" bestFit="1" customWidth="1"/>
  </cols>
  <sheetData>
    <row r="1" spans="1:7" x14ac:dyDescent="0.25">
      <c r="B1" t="s">
        <v>3</v>
      </c>
      <c r="C1" t="s">
        <v>4</v>
      </c>
      <c r="D1" t="s">
        <v>5</v>
      </c>
      <c r="E1" t="s">
        <v>6</v>
      </c>
    </row>
    <row r="2" spans="1:7" x14ac:dyDescent="0.25">
      <c r="A2" t="s">
        <v>0</v>
      </c>
      <c r="B2">
        <v>182.06</v>
      </c>
      <c r="C2">
        <v>214.99</v>
      </c>
      <c r="D2">
        <v>6258</v>
      </c>
      <c r="E2">
        <v>576</v>
      </c>
    </row>
    <row r="3" spans="1:7" x14ac:dyDescent="0.25">
      <c r="A3" t="s">
        <v>1</v>
      </c>
      <c r="B3">
        <v>633.33000000000004</v>
      </c>
      <c r="C3">
        <v>-136.86000000000001</v>
      </c>
      <c r="D3">
        <v>11220</v>
      </c>
      <c r="E3">
        <v>4485</v>
      </c>
    </row>
    <row r="5" spans="1:7" x14ac:dyDescent="0.25">
      <c r="A5" t="s">
        <v>7</v>
      </c>
      <c r="B5">
        <f>B2-B3</f>
        <v>-451.27000000000004</v>
      </c>
      <c r="C5">
        <f>C2-C3</f>
        <v>351.85</v>
      </c>
    </row>
    <row r="6" spans="1:7" x14ac:dyDescent="0.25">
      <c r="A6" t="s">
        <v>8</v>
      </c>
      <c r="B6">
        <f>D2-D3</f>
        <v>-4962</v>
      </c>
      <c r="C6">
        <f>E2-E3</f>
        <v>-3909</v>
      </c>
    </row>
    <row r="7" spans="1:7" x14ac:dyDescent="0.25">
      <c r="B7" s="5">
        <f>ABS(B6/B5)</f>
        <v>10.995634542513351</v>
      </c>
      <c r="C7" s="5">
        <f>ABS(C6/C5)</f>
        <v>11.10984794656814</v>
      </c>
    </row>
    <row r="8" spans="1:7" ht="15.75" customHeight="1" x14ac:dyDescent="0.25">
      <c r="A8" s="1" t="s">
        <v>9</v>
      </c>
      <c r="B8" s="2">
        <f>AVERAGE(B7:C7)</f>
        <v>11.052741244540744</v>
      </c>
    </row>
    <row r="9" spans="1:7" ht="15.75" customHeight="1" x14ac:dyDescent="0.25">
      <c r="A9" s="1"/>
      <c r="B9" s="2"/>
    </row>
    <row r="10" spans="1:7" ht="15.75" customHeight="1" x14ac:dyDescent="0.25">
      <c r="A10" s="3" t="s">
        <v>16</v>
      </c>
      <c r="B10" s="8">
        <v>12000</v>
      </c>
      <c r="C10" s="3">
        <v>6348</v>
      </c>
    </row>
    <row r="12" spans="1:7" x14ac:dyDescent="0.25">
      <c r="B12" t="s">
        <v>2</v>
      </c>
      <c r="C12" t="s">
        <v>13</v>
      </c>
    </row>
    <row r="13" spans="1:7" x14ac:dyDescent="0.25">
      <c r="A13" s="1" t="s">
        <v>10</v>
      </c>
      <c r="B13" s="4">
        <f>D3-(B3*$B$8)</f>
        <v>4219.9673875950102</v>
      </c>
      <c r="C13" s="4">
        <f>E3+(C3*$B$8)</f>
        <v>2972.3218332721535</v>
      </c>
    </row>
    <row r="14" spans="1:7" x14ac:dyDescent="0.25">
      <c r="A14" s="3" t="s">
        <v>17</v>
      </c>
      <c r="B14">
        <f>ROUND(B13,0)</f>
        <v>4220</v>
      </c>
      <c r="C14">
        <f>ROUND(C13,0)</f>
        <v>2972</v>
      </c>
    </row>
    <row r="15" spans="1:7" x14ac:dyDescent="0.25">
      <c r="B15" s="4"/>
      <c r="C15" s="4"/>
    </row>
    <row r="16" spans="1:7" x14ac:dyDescent="0.25">
      <c r="B16">
        <f>B14</f>
        <v>4220</v>
      </c>
      <c r="C16" s="4">
        <f>(B16/$B$8)</f>
        <v>381.80573548524671</v>
      </c>
      <c r="E16" s="6" t="s">
        <v>14</v>
      </c>
      <c r="F16" s="7">
        <f>C16*-1</f>
        <v>-381.80573548524671</v>
      </c>
      <c r="G16" s="7">
        <f>C17</f>
        <v>268.89257010951496</v>
      </c>
    </row>
    <row r="17" spans="2:7" x14ac:dyDescent="0.25">
      <c r="B17">
        <f>C14</f>
        <v>2972</v>
      </c>
      <c r="C17" s="4">
        <f>(B17/$B$8)</f>
        <v>268.89257010951496</v>
      </c>
    </row>
    <row r="18" spans="2:7" x14ac:dyDescent="0.25">
      <c r="C18" s="4"/>
    </row>
    <row r="19" spans="2:7" x14ac:dyDescent="0.25">
      <c r="B19" s="9">
        <f>B10-B16</f>
        <v>7780</v>
      </c>
      <c r="C19" s="4">
        <f>(B19/$B$8)</f>
        <v>703.89777774294305</v>
      </c>
      <c r="E19" s="6" t="s">
        <v>15</v>
      </c>
      <c r="F19" s="7">
        <f>C19</f>
        <v>703.89777774294305</v>
      </c>
      <c r="G19" s="7">
        <f>C20*-1</f>
        <v>-305.44458838819736</v>
      </c>
    </row>
    <row r="20" spans="2:7" x14ac:dyDescent="0.25">
      <c r="B20">
        <f>C10-B17</f>
        <v>3376</v>
      </c>
      <c r="C20" s="4">
        <f>(B20/$B$8)</f>
        <v>305.44458838819736</v>
      </c>
    </row>
    <row r="21" spans="2:7" x14ac:dyDescent="0.25">
      <c r="C21" s="4"/>
    </row>
    <row r="22" spans="2:7" x14ac:dyDescent="0.25">
      <c r="C22" s="4"/>
    </row>
    <row r="23" spans="2:7" x14ac:dyDescent="0.25">
      <c r="C23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C48B-9BCF-4894-90E9-21F8BB403264}">
  <dimension ref="A1:G23"/>
  <sheetViews>
    <sheetView zoomScale="160" zoomScaleNormal="160" workbookViewId="0">
      <selection activeCell="G11" sqref="A1:XFD1048576"/>
    </sheetView>
  </sheetViews>
  <sheetFormatPr defaultRowHeight="15" x14ac:dyDescent="0.25"/>
  <cols>
    <col min="1" max="1" width="20" bestFit="1" customWidth="1"/>
    <col min="2" max="3" width="14.28515625" bestFit="1" customWidth="1"/>
    <col min="4" max="4" width="8.42578125" bestFit="1" customWidth="1"/>
    <col min="5" max="5" width="20" bestFit="1" customWidth="1"/>
    <col min="6" max="7" width="7.42578125" bestFit="1" customWidth="1"/>
  </cols>
  <sheetData>
    <row r="1" spans="1:7" x14ac:dyDescent="0.25">
      <c r="B1" t="s">
        <v>3</v>
      </c>
      <c r="C1" t="s">
        <v>4</v>
      </c>
      <c r="D1" t="s">
        <v>5</v>
      </c>
      <c r="E1" t="s">
        <v>6</v>
      </c>
    </row>
    <row r="2" spans="1:7" x14ac:dyDescent="0.25">
      <c r="A2" t="s">
        <v>0</v>
      </c>
      <c r="B2">
        <v>-73.11</v>
      </c>
      <c r="C2">
        <v>196.79</v>
      </c>
      <c r="D2">
        <v>4727</v>
      </c>
      <c r="E2">
        <v>1013</v>
      </c>
    </row>
    <row r="3" spans="1:7" x14ac:dyDescent="0.25">
      <c r="A3" t="s">
        <v>1</v>
      </c>
      <c r="B3">
        <v>174.76</v>
      </c>
      <c r="C3">
        <v>-235.11</v>
      </c>
      <c r="D3">
        <v>9666</v>
      </c>
      <c r="E3">
        <v>9579</v>
      </c>
    </row>
    <row r="5" spans="1:7" x14ac:dyDescent="0.25">
      <c r="A5" t="s">
        <v>7</v>
      </c>
      <c r="B5">
        <f>B2-B3</f>
        <v>-247.87</v>
      </c>
      <c r="C5">
        <f>C2-C3</f>
        <v>431.9</v>
      </c>
    </row>
    <row r="6" spans="1:7" x14ac:dyDescent="0.25">
      <c r="A6" t="s">
        <v>8</v>
      </c>
      <c r="B6">
        <f>D2-D3</f>
        <v>-4939</v>
      </c>
      <c r="C6">
        <f>E2-E3</f>
        <v>-8566</v>
      </c>
    </row>
    <row r="7" spans="1:7" x14ac:dyDescent="0.25">
      <c r="B7" s="5">
        <f>ABS(B6/B5)</f>
        <v>19.925767539435995</v>
      </c>
      <c r="C7" s="5">
        <f>ABS(C6/C5)</f>
        <v>19.83329474415374</v>
      </c>
    </row>
    <row r="8" spans="1:7" ht="15.75" customHeight="1" x14ac:dyDescent="0.25">
      <c r="A8" s="1" t="s">
        <v>9</v>
      </c>
      <c r="B8" s="2">
        <f>AVERAGE(B7:C7)</f>
        <v>19.879531141794867</v>
      </c>
    </row>
    <row r="9" spans="1:7" ht="15.75" customHeight="1" x14ac:dyDescent="0.25">
      <c r="A9" s="1"/>
      <c r="B9" s="2"/>
    </row>
    <row r="10" spans="1:7" ht="15.75" customHeight="1" x14ac:dyDescent="0.25">
      <c r="A10" s="3" t="s">
        <v>16</v>
      </c>
      <c r="B10" s="8">
        <v>12000</v>
      </c>
      <c r="C10" s="3">
        <v>10480</v>
      </c>
    </row>
    <row r="12" spans="1:7" x14ac:dyDescent="0.25">
      <c r="B12" t="s">
        <v>2</v>
      </c>
      <c r="C12" t="s">
        <v>13</v>
      </c>
    </row>
    <row r="13" spans="1:7" x14ac:dyDescent="0.25">
      <c r="A13" s="1" t="s">
        <v>10</v>
      </c>
      <c r="B13" s="4">
        <f>D3-(B3*$B$8)</f>
        <v>6191.8531376599294</v>
      </c>
      <c r="C13" s="4">
        <f>E3+(C3*$B$8)</f>
        <v>4905.1234332526083</v>
      </c>
    </row>
    <row r="14" spans="1:7" x14ac:dyDescent="0.25">
      <c r="A14" s="3" t="s">
        <v>17</v>
      </c>
      <c r="B14">
        <f>ROUND(B13,0)</f>
        <v>6192</v>
      </c>
      <c r="C14">
        <f>ROUND(C13,0)</f>
        <v>4905</v>
      </c>
    </row>
    <row r="15" spans="1:7" x14ac:dyDescent="0.25">
      <c r="B15" s="4"/>
      <c r="C15" s="4"/>
    </row>
    <row r="16" spans="1:7" x14ac:dyDescent="0.25">
      <c r="B16">
        <f>B14</f>
        <v>6192</v>
      </c>
      <c r="C16" s="4">
        <f>(B16/$B$8)</f>
        <v>311.47615886080411</v>
      </c>
      <c r="E16" s="6" t="s">
        <v>14</v>
      </c>
      <c r="F16" s="7">
        <f>C16*-1</f>
        <v>-311.47615886080411</v>
      </c>
      <c r="G16" s="7">
        <f>C17</f>
        <v>246.73620142316602</v>
      </c>
    </row>
    <row r="17" spans="2:7" x14ac:dyDescent="0.25">
      <c r="B17">
        <f>C14</f>
        <v>4905</v>
      </c>
      <c r="C17" s="4">
        <f>(B17/$B$8)</f>
        <v>246.73620142316602</v>
      </c>
    </row>
    <row r="18" spans="2:7" x14ac:dyDescent="0.25">
      <c r="C18" s="4"/>
    </row>
    <row r="19" spans="2:7" x14ac:dyDescent="0.25">
      <c r="B19" s="9">
        <f>B10-B16</f>
        <v>5808</v>
      </c>
      <c r="C19" s="4">
        <f>(B19/$B$8)</f>
        <v>292.15980792369993</v>
      </c>
      <c r="E19" s="6" t="s">
        <v>15</v>
      </c>
      <c r="F19" s="7">
        <f>C19</f>
        <v>292.15980792369993</v>
      </c>
      <c r="G19" s="7">
        <f>C20*-1</f>
        <v>-280.43920956863417</v>
      </c>
    </row>
    <row r="20" spans="2:7" x14ac:dyDescent="0.25">
      <c r="B20">
        <f>C10-B17</f>
        <v>5575</v>
      </c>
      <c r="C20" s="4">
        <f>(B20/$B$8)</f>
        <v>280.43920956863417</v>
      </c>
    </row>
    <row r="21" spans="2:7" x14ac:dyDescent="0.25">
      <c r="C21" s="4"/>
    </row>
    <row r="22" spans="2:7" x14ac:dyDescent="0.25">
      <c r="C22" s="4"/>
    </row>
    <row r="23" spans="2:7" x14ac:dyDescent="0.25">
      <c r="C23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0EC5-9CFD-4B7E-9DB7-6B4F6E45A7B8}">
  <dimension ref="A1:G23"/>
  <sheetViews>
    <sheetView zoomScale="145" zoomScaleNormal="145" workbookViewId="0">
      <selection activeCell="B27" sqref="A1:XFD1048576"/>
    </sheetView>
  </sheetViews>
  <sheetFormatPr defaultRowHeight="15" x14ac:dyDescent="0.25"/>
  <cols>
    <col min="1" max="1" width="20" bestFit="1" customWidth="1"/>
    <col min="2" max="3" width="14.28515625" bestFit="1" customWidth="1"/>
    <col min="4" max="4" width="8.42578125" bestFit="1" customWidth="1"/>
    <col min="5" max="5" width="20" bestFit="1" customWidth="1"/>
    <col min="6" max="7" width="7.42578125" bestFit="1" customWidth="1"/>
  </cols>
  <sheetData>
    <row r="1" spans="1:7" x14ac:dyDescent="0.25">
      <c r="A1" s="12" t="s">
        <v>12</v>
      </c>
      <c r="B1" t="s">
        <v>3</v>
      </c>
      <c r="C1" t="s">
        <v>4</v>
      </c>
      <c r="D1" t="s">
        <v>5</v>
      </c>
      <c r="E1" t="s">
        <v>6</v>
      </c>
    </row>
    <row r="2" spans="1:7" x14ac:dyDescent="0.25">
      <c r="A2" t="s">
        <v>0</v>
      </c>
      <c r="B2" s="11">
        <v>-518</v>
      </c>
      <c r="C2" s="11">
        <v>166.08</v>
      </c>
      <c r="D2" s="11">
        <v>2160</v>
      </c>
      <c r="E2" s="11">
        <v>2378</v>
      </c>
    </row>
    <row r="3" spans="1:7" x14ac:dyDescent="0.25">
      <c r="A3" t="s">
        <v>1</v>
      </c>
      <c r="B3" s="11">
        <v>302</v>
      </c>
      <c r="C3" s="11">
        <v>-456.24</v>
      </c>
      <c r="D3" s="11">
        <v>9114</v>
      </c>
      <c r="E3" s="11">
        <v>7628</v>
      </c>
    </row>
    <row r="5" spans="1:7" x14ac:dyDescent="0.25">
      <c r="A5" t="s">
        <v>7</v>
      </c>
      <c r="B5">
        <f>B2-B3</f>
        <v>-820</v>
      </c>
      <c r="C5">
        <f>C2-C3</f>
        <v>622.32000000000005</v>
      </c>
    </row>
    <row r="6" spans="1:7" x14ac:dyDescent="0.25">
      <c r="A6" t="s">
        <v>8</v>
      </c>
      <c r="B6">
        <f>D2-D3</f>
        <v>-6954</v>
      </c>
      <c r="C6">
        <f>E2-E3</f>
        <v>-5250</v>
      </c>
    </row>
    <row r="7" spans="1:7" x14ac:dyDescent="0.25">
      <c r="B7" s="5">
        <f>ABS(B6/B5)</f>
        <v>8.4804878048780488</v>
      </c>
      <c r="C7" s="5">
        <f>ABS(C6/C5)</f>
        <v>8.4361743154647115</v>
      </c>
    </row>
    <row r="8" spans="1:7" ht="15.75" customHeight="1" x14ac:dyDescent="0.25">
      <c r="A8" s="1" t="s">
        <v>9</v>
      </c>
      <c r="B8" s="2">
        <f>AVERAGE(B7:C7)</f>
        <v>8.4583310601713801</v>
      </c>
    </row>
    <row r="9" spans="1:7" ht="15.75" customHeight="1" x14ac:dyDescent="0.25">
      <c r="A9" s="1"/>
      <c r="B9" s="2"/>
    </row>
    <row r="10" spans="1:7" ht="15.75" customHeight="1" x14ac:dyDescent="0.25">
      <c r="A10" s="3" t="s">
        <v>16</v>
      </c>
      <c r="B10" s="10">
        <v>12000</v>
      </c>
      <c r="C10" s="11">
        <v>11515</v>
      </c>
    </row>
    <row r="12" spans="1:7" x14ac:dyDescent="0.25">
      <c r="B12" t="s">
        <v>2</v>
      </c>
      <c r="C12" t="s">
        <v>13</v>
      </c>
    </row>
    <row r="13" spans="1:7" x14ac:dyDescent="0.25">
      <c r="A13" s="1" t="s">
        <v>10</v>
      </c>
      <c r="B13" s="4">
        <f>D3-(B3*$B$8)</f>
        <v>6559.5840198282431</v>
      </c>
      <c r="C13" s="4">
        <f>E3+(C3*$B$8)</f>
        <v>3768.9710371074093</v>
      </c>
    </row>
    <row r="14" spans="1:7" x14ac:dyDescent="0.25">
      <c r="A14" s="3" t="s">
        <v>17</v>
      </c>
      <c r="B14">
        <f>ROUND(B13,0)</f>
        <v>6560</v>
      </c>
      <c r="C14">
        <f>ROUND(C13,0)</f>
        <v>3769</v>
      </c>
    </row>
    <row r="15" spans="1:7" x14ac:dyDescent="0.25">
      <c r="B15" s="4"/>
      <c r="C15" s="4"/>
    </row>
    <row r="16" spans="1:7" x14ac:dyDescent="0.25">
      <c r="B16">
        <f>B14</f>
        <v>6560</v>
      </c>
      <c r="C16" s="4">
        <f>(B16/$B$8)</f>
        <v>775.56671089522047</v>
      </c>
      <c r="E16" s="6" t="s">
        <v>14</v>
      </c>
      <c r="F16" s="7">
        <f>C16*-1</f>
        <v>-775.56671089522047</v>
      </c>
      <c r="G16" s="7">
        <f>C17</f>
        <v>445.59617886647646</v>
      </c>
    </row>
    <row r="17" spans="2:7" x14ac:dyDescent="0.25">
      <c r="B17">
        <f>C14</f>
        <v>3769</v>
      </c>
      <c r="C17" s="4">
        <f>(B17/$B$8)</f>
        <v>445.59617886647646</v>
      </c>
    </row>
    <row r="18" spans="2:7" x14ac:dyDescent="0.25">
      <c r="C18" s="4"/>
    </row>
    <row r="19" spans="2:7" x14ac:dyDescent="0.25">
      <c r="B19" s="9">
        <f>B10-B16</f>
        <v>5440</v>
      </c>
      <c r="C19" s="4">
        <f>(B19/$B$8)</f>
        <v>643.15288220579259</v>
      </c>
      <c r="E19" s="6" t="s">
        <v>15</v>
      </c>
      <c r="F19" s="7">
        <f>C19</f>
        <v>643.15288220579259</v>
      </c>
      <c r="G19" s="7">
        <f>C20*-1</f>
        <v>-915.78349734670383</v>
      </c>
    </row>
    <row r="20" spans="2:7" x14ac:dyDescent="0.25">
      <c r="B20">
        <f>C10-B17</f>
        <v>7746</v>
      </c>
      <c r="C20" s="4">
        <f>(B20/$B$8)</f>
        <v>915.78349734670383</v>
      </c>
    </row>
    <row r="21" spans="2:7" x14ac:dyDescent="0.25">
      <c r="C21" s="4"/>
    </row>
    <row r="22" spans="2:7" x14ac:dyDescent="0.25">
      <c r="C22" s="4"/>
    </row>
    <row r="23" spans="2:7" x14ac:dyDescent="0.25">
      <c r="C23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9DD9-2623-4491-9A85-F889D61E89E9}">
  <dimension ref="A1:G23"/>
  <sheetViews>
    <sheetView zoomScale="145" zoomScaleNormal="145" workbookViewId="0">
      <selection activeCell="D15" sqref="A1:XFD1048576"/>
    </sheetView>
  </sheetViews>
  <sheetFormatPr defaultRowHeight="15" x14ac:dyDescent="0.25"/>
  <cols>
    <col min="1" max="1" width="20" bestFit="1" customWidth="1"/>
    <col min="2" max="3" width="14.28515625" bestFit="1" customWidth="1"/>
    <col min="4" max="4" width="8.42578125" bestFit="1" customWidth="1"/>
    <col min="5" max="5" width="20" bestFit="1" customWidth="1"/>
    <col min="6" max="6" width="8.7109375" bestFit="1" customWidth="1"/>
    <col min="7" max="7" width="7.42578125" bestFit="1" customWidth="1"/>
  </cols>
  <sheetData>
    <row r="1" spans="1:7" x14ac:dyDescent="0.25">
      <c r="A1" s="12" t="s">
        <v>12</v>
      </c>
      <c r="B1" t="s">
        <v>3</v>
      </c>
      <c r="C1" t="s">
        <v>4</v>
      </c>
      <c r="D1" t="s">
        <v>5</v>
      </c>
      <c r="E1" t="s">
        <v>6</v>
      </c>
    </row>
    <row r="2" spans="1:7" x14ac:dyDescent="0.25">
      <c r="A2" t="s">
        <v>0</v>
      </c>
      <c r="B2" s="11">
        <v>-742.83</v>
      </c>
      <c r="C2" s="11">
        <v>486.37</v>
      </c>
      <c r="D2" s="11">
        <v>2659</v>
      </c>
      <c r="E2" s="11">
        <v>1225</v>
      </c>
    </row>
    <row r="3" spans="1:7" x14ac:dyDescent="0.25">
      <c r="A3" t="s">
        <v>1</v>
      </c>
      <c r="B3" s="11">
        <v>384.77</v>
      </c>
      <c r="C3" s="11">
        <v>-132.38</v>
      </c>
      <c r="D3" s="11">
        <v>10985</v>
      </c>
      <c r="E3" s="11">
        <v>5799</v>
      </c>
    </row>
    <row r="5" spans="1:7" x14ac:dyDescent="0.25">
      <c r="A5" t="s">
        <v>7</v>
      </c>
      <c r="B5">
        <f>B2-B3</f>
        <v>-1127.5999999999999</v>
      </c>
      <c r="C5">
        <f>C2-C3</f>
        <v>618.75</v>
      </c>
    </row>
    <row r="6" spans="1:7" x14ac:dyDescent="0.25">
      <c r="A6" t="s">
        <v>8</v>
      </c>
      <c r="B6">
        <f>D2-D3</f>
        <v>-8326</v>
      </c>
      <c r="C6">
        <f>E2-E3</f>
        <v>-4574</v>
      </c>
    </row>
    <row r="7" spans="1:7" x14ac:dyDescent="0.25">
      <c r="B7" s="5">
        <f>ABS(B6/B5)</f>
        <v>7.3838240510819446</v>
      </c>
      <c r="C7" s="5">
        <f>ABS(C6/C5)</f>
        <v>7.392323232323232</v>
      </c>
    </row>
    <row r="8" spans="1:7" ht="15.75" customHeight="1" x14ac:dyDescent="0.25">
      <c r="A8" s="1" t="s">
        <v>9</v>
      </c>
      <c r="B8" s="2">
        <f>AVERAGE(B7:C7)</f>
        <v>7.3880736417025883</v>
      </c>
    </row>
    <row r="9" spans="1:7" ht="15.75" customHeight="1" x14ac:dyDescent="0.25">
      <c r="A9" s="1"/>
      <c r="B9" s="2"/>
    </row>
    <row r="10" spans="1:7" ht="15.75" customHeight="1" x14ac:dyDescent="0.25">
      <c r="A10" s="3" t="s">
        <v>16</v>
      </c>
      <c r="B10" s="10">
        <v>12000</v>
      </c>
      <c r="C10" s="11">
        <v>8298</v>
      </c>
    </row>
    <row r="12" spans="1:7" x14ac:dyDescent="0.25">
      <c r="B12" t="s">
        <v>2</v>
      </c>
      <c r="C12" t="s">
        <v>13</v>
      </c>
    </row>
    <row r="13" spans="1:7" x14ac:dyDescent="0.25">
      <c r="A13" s="1" t="s">
        <v>10</v>
      </c>
      <c r="B13" s="4">
        <f>D3-(B3*$B$8)</f>
        <v>8142.2909048820948</v>
      </c>
      <c r="C13" s="4">
        <f>E3+(C3*$B$8)</f>
        <v>4820.9668113114112</v>
      </c>
    </row>
    <row r="14" spans="1:7" x14ac:dyDescent="0.25">
      <c r="A14" s="3" t="s">
        <v>17</v>
      </c>
      <c r="B14">
        <f>ROUND(B13,0)</f>
        <v>8142</v>
      </c>
      <c r="C14">
        <f>ROUND(C13,0)</f>
        <v>4821</v>
      </c>
    </row>
    <row r="15" spans="1:7" x14ac:dyDescent="0.25">
      <c r="B15" s="4"/>
      <c r="C15" s="4"/>
    </row>
    <row r="16" spans="1:7" x14ac:dyDescent="0.25">
      <c r="B16">
        <f>B14</f>
        <v>8142</v>
      </c>
      <c r="C16" s="4">
        <f>(B16/$B$8)</f>
        <v>1102.0464054448257</v>
      </c>
      <c r="E16" s="6" t="s">
        <v>14</v>
      </c>
      <c r="F16" s="7">
        <f>C16*-1</f>
        <v>-1102.0464054448257</v>
      </c>
      <c r="G16" s="7">
        <f>C17</f>
        <v>652.53816269338051</v>
      </c>
    </row>
    <row r="17" spans="2:7" x14ac:dyDescent="0.25">
      <c r="B17">
        <f>C14</f>
        <v>4821</v>
      </c>
      <c r="C17" s="4">
        <f>(B17/$B$8)</f>
        <v>652.53816269338051</v>
      </c>
    </row>
    <row r="18" spans="2:7" x14ac:dyDescent="0.25">
      <c r="C18" s="4"/>
    </row>
    <row r="19" spans="2:7" x14ac:dyDescent="0.25">
      <c r="B19" s="9">
        <f>B10-B16</f>
        <v>3858</v>
      </c>
      <c r="C19" s="4">
        <f>(B19/$B$8)</f>
        <v>522.19295409065796</v>
      </c>
      <c r="E19" s="6" t="s">
        <v>15</v>
      </c>
      <c r="F19" s="7">
        <f>C19</f>
        <v>522.19295409065796</v>
      </c>
      <c r="G19" s="7">
        <f>C20*-1</f>
        <v>-470.62335442540638</v>
      </c>
    </row>
    <row r="20" spans="2:7" x14ac:dyDescent="0.25">
      <c r="B20">
        <f>C10-B17</f>
        <v>3477</v>
      </c>
      <c r="C20" s="4">
        <f>(B20/$B$8)</f>
        <v>470.62335442540638</v>
      </c>
    </row>
    <row r="21" spans="2:7" x14ac:dyDescent="0.25">
      <c r="C21" s="4"/>
    </row>
    <row r="22" spans="2:7" x14ac:dyDescent="0.25">
      <c r="C22" s="4"/>
    </row>
    <row r="23" spans="2:7" x14ac:dyDescent="0.25">
      <c r="C23" s="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D4B4-9F17-4906-9A5E-D492325D14E9}">
  <dimension ref="A1:G23"/>
  <sheetViews>
    <sheetView workbookViewId="0">
      <selection activeCell="H17" sqref="A1:XFD1048576"/>
    </sheetView>
  </sheetViews>
  <sheetFormatPr defaultRowHeight="15" x14ac:dyDescent="0.25"/>
  <cols>
    <col min="1" max="1" width="20" bestFit="1" customWidth="1"/>
    <col min="2" max="3" width="14.28515625" bestFit="1" customWidth="1"/>
    <col min="4" max="4" width="8.42578125" bestFit="1" customWidth="1"/>
    <col min="5" max="5" width="20" bestFit="1" customWidth="1"/>
    <col min="6" max="6" width="8.7109375" bestFit="1" customWidth="1"/>
    <col min="7" max="7" width="7.42578125" bestFit="1" customWidth="1"/>
  </cols>
  <sheetData>
    <row r="1" spans="1:7" x14ac:dyDescent="0.25">
      <c r="A1" s="12" t="s">
        <v>12</v>
      </c>
      <c r="B1" t="s">
        <v>3</v>
      </c>
      <c r="C1" t="s">
        <v>4</v>
      </c>
      <c r="D1" t="s">
        <v>5</v>
      </c>
      <c r="E1" t="s">
        <v>6</v>
      </c>
    </row>
    <row r="2" spans="1:7" x14ac:dyDescent="0.25">
      <c r="A2" t="s">
        <v>0</v>
      </c>
      <c r="B2" s="11">
        <v>51.86</v>
      </c>
      <c r="C2" s="11">
        <v>271.11</v>
      </c>
      <c r="D2" s="11">
        <v>3119</v>
      </c>
      <c r="E2" s="11">
        <v>1945</v>
      </c>
    </row>
    <row r="3" spans="1:7" x14ac:dyDescent="0.25">
      <c r="A3" t="s">
        <v>1</v>
      </c>
      <c r="B3" s="11">
        <v>149.54</v>
      </c>
      <c r="C3" s="11">
        <v>-76.14</v>
      </c>
      <c r="D3" s="11">
        <v>5096</v>
      </c>
      <c r="E3" s="11">
        <v>8992</v>
      </c>
    </row>
    <row r="5" spans="1:7" x14ac:dyDescent="0.25">
      <c r="A5" t="s">
        <v>7</v>
      </c>
      <c r="B5">
        <f>B2-B3</f>
        <v>-97.679999999999993</v>
      </c>
      <c r="C5">
        <f>C2-C3</f>
        <v>347.25</v>
      </c>
    </row>
    <row r="6" spans="1:7" x14ac:dyDescent="0.25">
      <c r="A6" t="s">
        <v>8</v>
      </c>
      <c r="B6">
        <f>D2-D3</f>
        <v>-1977</v>
      </c>
      <c r="C6">
        <f>E2-E3</f>
        <v>-7047</v>
      </c>
    </row>
    <row r="7" spans="1:7" x14ac:dyDescent="0.25">
      <c r="B7" s="5">
        <f>ABS(B6/B5)</f>
        <v>20.239557739557743</v>
      </c>
      <c r="C7" s="5">
        <f>ABS(C6/C5)</f>
        <v>20.293736501079913</v>
      </c>
    </row>
    <row r="8" spans="1:7" ht="15.75" customHeight="1" x14ac:dyDescent="0.25">
      <c r="A8" s="1" t="s">
        <v>9</v>
      </c>
      <c r="B8" s="2">
        <f>AVERAGE(B7:C7)</f>
        <v>20.266647120318829</v>
      </c>
    </row>
    <row r="9" spans="1:7" ht="15.75" customHeight="1" x14ac:dyDescent="0.25">
      <c r="A9" s="1"/>
      <c r="B9" s="2"/>
    </row>
    <row r="10" spans="1:7" ht="15.75" customHeight="1" x14ac:dyDescent="0.25">
      <c r="A10" s="3" t="s">
        <v>16</v>
      </c>
      <c r="B10" s="10">
        <v>7156</v>
      </c>
      <c r="C10" s="11">
        <v>10000</v>
      </c>
    </row>
    <row r="12" spans="1:7" x14ac:dyDescent="0.25">
      <c r="B12" t="s">
        <v>2</v>
      </c>
      <c r="C12" t="s">
        <v>13</v>
      </c>
    </row>
    <row r="13" spans="1:7" x14ac:dyDescent="0.25">
      <c r="A13" s="1" t="s">
        <v>10</v>
      </c>
      <c r="B13" s="4">
        <f>D3-(B3*$B$8)</f>
        <v>2065.3255896275223</v>
      </c>
      <c r="C13" s="4">
        <f>E3+(C3*$B$8)</f>
        <v>7448.8974882589246</v>
      </c>
    </row>
    <row r="14" spans="1:7" x14ac:dyDescent="0.25">
      <c r="A14" s="3" t="s">
        <v>17</v>
      </c>
      <c r="B14">
        <f>ROUND(B13,0)</f>
        <v>2065</v>
      </c>
      <c r="C14">
        <f>ROUND(C13,0)</f>
        <v>7449</v>
      </c>
    </row>
    <row r="15" spans="1:7" x14ac:dyDescent="0.25">
      <c r="B15" s="4"/>
      <c r="C15" s="4"/>
    </row>
    <row r="16" spans="1:7" x14ac:dyDescent="0.25">
      <c r="B16">
        <f>B14</f>
        <v>2065</v>
      </c>
      <c r="C16" s="4">
        <f>(B16/$B$8)</f>
        <v>101.89154563853253</v>
      </c>
      <c r="E16" s="6" t="s">
        <v>14</v>
      </c>
      <c r="F16" s="7">
        <f>C16*-1</f>
        <v>-101.89154563853253</v>
      </c>
      <c r="G16" s="7">
        <f>C17</f>
        <v>367.549696591491</v>
      </c>
    </row>
    <row r="17" spans="2:7" x14ac:dyDescent="0.25">
      <c r="B17">
        <f>C14</f>
        <v>7449</v>
      </c>
      <c r="C17" s="4">
        <f>(B17/$B$8)</f>
        <v>367.549696591491</v>
      </c>
    </row>
    <row r="18" spans="2:7" x14ac:dyDescent="0.25">
      <c r="C18" s="4"/>
    </row>
    <row r="19" spans="2:7" x14ac:dyDescent="0.25">
      <c r="B19" s="9">
        <f>B10-B16</f>
        <v>5091</v>
      </c>
      <c r="C19" s="4">
        <f>(B19/$B$8)</f>
        <v>251.20090016744268</v>
      </c>
      <c r="E19" s="6" t="s">
        <v>15</v>
      </c>
      <c r="F19" s="7">
        <f>C19</f>
        <v>251.20090016744268</v>
      </c>
      <c r="G19" s="7">
        <f>C20*-1</f>
        <v>-125.87183192440509</v>
      </c>
    </row>
    <row r="20" spans="2:7" x14ac:dyDescent="0.25">
      <c r="B20">
        <f>C10-B17</f>
        <v>2551</v>
      </c>
      <c r="C20" s="4">
        <f>(B20/$B$8)</f>
        <v>125.87183192440509</v>
      </c>
    </row>
    <row r="21" spans="2:7" x14ac:dyDescent="0.25">
      <c r="C21" s="4"/>
    </row>
    <row r="22" spans="2:7" x14ac:dyDescent="0.25">
      <c r="C22" s="4"/>
    </row>
    <row r="23" spans="2:7" x14ac:dyDescent="0.25">
      <c r="C23" s="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0879-16EE-4D9C-95CC-5F35364728EE}">
  <dimension ref="A1:H23"/>
  <sheetViews>
    <sheetView tabSelected="1" zoomScaleNormal="100" workbookViewId="0">
      <selection activeCell="H24" sqref="H24"/>
    </sheetView>
  </sheetViews>
  <sheetFormatPr defaultRowHeight="15" x14ac:dyDescent="0.25"/>
  <cols>
    <col min="1" max="1" width="20" bestFit="1" customWidth="1"/>
    <col min="2" max="3" width="14.28515625" bestFit="1" customWidth="1"/>
    <col min="4" max="4" width="8.42578125" bestFit="1" customWidth="1"/>
    <col min="5" max="5" width="20" bestFit="1" customWidth="1"/>
    <col min="6" max="6" width="8.7109375" bestFit="1" customWidth="1"/>
    <col min="7" max="7" width="7.42578125" bestFit="1" customWidth="1"/>
  </cols>
  <sheetData>
    <row r="1" spans="1:8" x14ac:dyDescent="0.25">
      <c r="A1" s="12" t="s">
        <v>12</v>
      </c>
      <c r="B1" t="s">
        <v>3</v>
      </c>
      <c r="C1" t="s">
        <v>4</v>
      </c>
      <c r="D1" t="s">
        <v>5</v>
      </c>
      <c r="E1" t="s">
        <v>6</v>
      </c>
    </row>
    <row r="2" spans="1:8" x14ac:dyDescent="0.25">
      <c r="A2" t="s">
        <v>0</v>
      </c>
      <c r="B2" s="11">
        <v>66.3</v>
      </c>
      <c r="C2" s="11">
        <v>-82.41</v>
      </c>
      <c r="D2" s="11">
        <v>5018</v>
      </c>
      <c r="E2" s="11">
        <v>8881</v>
      </c>
    </row>
    <row r="3" spans="1:8" x14ac:dyDescent="0.25">
      <c r="A3" t="s">
        <v>1</v>
      </c>
      <c r="B3" s="11">
        <v>295.94</v>
      </c>
      <c r="C3" s="11">
        <v>497.02</v>
      </c>
      <c r="D3" s="11">
        <v>8330</v>
      </c>
      <c r="E3" s="11">
        <v>546</v>
      </c>
    </row>
    <row r="5" spans="1:8" x14ac:dyDescent="0.25">
      <c r="A5" t="s">
        <v>7</v>
      </c>
      <c r="B5">
        <f>B2-B3</f>
        <v>-229.64</v>
      </c>
      <c r="C5">
        <f>C2-C3</f>
        <v>-579.42999999999995</v>
      </c>
    </row>
    <row r="6" spans="1:8" x14ac:dyDescent="0.25">
      <c r="A6" t="s">
        <v>8</v>
      </c>
      <c r="B6">
        <f>D2-D3</f>
        <v>-3312</v>
      </c>
      <c r="C6">
        <f>E2-E3</f>
        <v>8335</v>
      </c>
    </row>
    <row r="7" spans="1:8" x14ac:dyDescent="0.25">
      <c r="B7" s="5">
        <f>ABS(B6/B5)</f>
        <v>14.422574464379029</v>
      </c>
      <c r="C7" s="5">
        <f>ABS(C6/C5)</f>
        <v>14.384826467390369</v>
      </c>
    </row>
    <row r="8" spans="1:8" ht="15.75" customHeight="1" x14ac:dyDescent="0.25">
      <c r="A8" s="1" t="s">
        <v>9</v>
      </c>
      <c r="B8" s="2">
        <f>AVERAGE(B7:C7)</f>
        <v>14.403700465884699</v>
      </c>
    </row>
    <row r="9" spans="1:8" ht="15.75" customHeight="1" x14ac:dyDescent="0.25">
      <c r="A9" s="1"/>
      <c r="B9" s="2"/>
      <c r="H9" s="1"/>
    </row>
    <row r="10" spans="1:8" ht="15.75" customHeight="1" x14ac:dyDescent="0.25">
      <c r="A10" s="3" t="s">
        <v>16</v>
      </c>
      <c r="B10" s="10">
        <v>8735</v>
      </c>
      <c r="C10" s="11">
        <v>12000</v>
      </c>
    </row>
    <row r="12" spans="1:8" x14ac:dyDescent="0.25">
      <c r="B12" t="s">
        <v>2</v>
      </c>
      <c r="C12" t="s">
        <v>13</v>
      </c>
    </row>
    <row r="13" spans="1:8" x14ac:dyDescent="0.25">
      <c r="A13" s="1" t="s">
        <v>10</v>
      </c>
      <c r="B13" s="4">
        <f>D3-(B3*$B$8)</f>
        <v>4067.3688841260828</v>
      </c>
      <c r="C13" s="4">
        <f>E3+(C3*$B$8)</f>
        <v>7704.9272055540123</v>
      </c>
    </row>
    <row r="14" spans="1:8" x14ac:dyDescent="0.25">
      <c r="A14" s="3" t="s">
        <v>17</v>
      </c>
      <c r="B14">
        <f>ROUND(B13,0)</f>
        <v>4067</v>
      </c>
      <c r="C14">
        <f>ROUND(C13,0)</f>
        <v>7705</v>
      </c>
    </row>
    <row r="15" spans="1:8" x14ac:dyDescent="0.25">
      <c r="B15" s="4"/>
      <c r="C15" s="4"/>
    </row>
    <row r="16" spans="1:8" x14ac:dyDescent="0.25">
      <c r="B16">
        <f>B14</f>
        <v>4067</v>
      </c>
      <c r="C16" s="4">
        <f>(B16/$B$8)</f>
        <v>282.35799610195505</v>
      </c>
      <c r="E16" s="6" t="s">
        <v>14</v>
      </c>
      <c r="F16" s="7">
        <f>C16*-1</f>
        <v>-282.35799610195505</v>
      </c>
      <c r="G16" s="7">
        <f>C17</f>
        <v>534.93197933748797</v>
      </c>
    </row>
    <row r="17" spans="2:7" x14ac:dyDescent="0.25">
      <c r="B17">
        <f>C14</f>
        <v>7705</v>
      </c>
      <c r="C17" s="4">
        <f>(B17/$B$8)</f>
        <v>534.93197933748797</v>
      </c>
    </row>
    <row r="18" spans="2:7" x14ac:dyDescent="0.25">
      <c r="C18" s="4"/>
    </row>
    <row r="19" spans="2:7" x14ac:dyDescent="0.25">
      <c r="B19" s="9">
        <f>B10-B16</f>
        <v>4668</v>
      </c>
      <c r="C19" s="4">
        <f>(B19/$B$8)</f>
        <v>324.08338475631331</v>
      </c>
      <c r="E19" s="6" t="s">
        <v>15</v>
      </c>
      <c r="F19" s="7">
        <f>C19</f>
        <v>324.08338475631331</v>
      </c>
      <c r="G19" s="7">
        <f>C20*-1</f>
        <v>-298.18726168131229</v>
      </c>
    </row>
    <row r="20" spans="2:7" x14ac:dyDescent="0.25">
      <c r="B20">
        <f>C10-B17</f>
        <v>4295</v>
      </c>
      <c r="C20" s="4">
        <f>(B20/$B$8)</f>
        <v>298.18726168131229</v>
      </c>
    </row>
    <row r="21" spans="2:7" x14ac:dyDescent="0.25">
      <c r="C21" s="4"/>
    </row>
    <row r="22" spans="2:7" x14ac:dyDescent="0.25">
      <c r="C22" s="4"/>
    </row>
    <row r="23" spans="2:7" x14ac:dyDescent="0.25">
      <c r="C2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3679-F83F-433F-A421-7720CFB73BE8}">
  <dimension ref="A1:E21"/>
  <sheetViews>
    <sheetView zoomScale="145" zoomScaleNormal="145" workbookViewId="0">
      <selection activeCell="B29" sqref="B29"/>
    </sheetView>
  </sheetViews>
  <sheetFormatPr defaultRowHeight="15" x14ac:dyDescent="0.25"/>
  <cols>
    <col min="1" max="1" width="20" bestFit="1" customWidth="1"/>
    <col min="2" max="2" width="12.28515625" bestFit="1" customWidth="1"/>
    <col min="3" max="3" width="13" bestFit="1" customWidth="1"/>
    <col min="4" max="4" width="8.42578125" bestFit="1" customWidth="1"/>
    <col min="5" max="5" width="8.28515625" bestFit="1" customWidth="1"/>
    <col min="6" max="6" width="12.42578125" bestFit="1" customWidth="1"/>
    <col min="7" max="7" width="6.28515625" bestFit="1" customWidth="1"/>
  </cols>
  <sheetData>
    <row r="1" spans="1:5" x14ac:dyDescent="0.25"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0</v>
      </c>
      <c r="B2">
        <v>-324.64</v>
      </c>
      <c r="C2">
        <v>264.88799999999998</v>
      </c>
      <c r="D2">
        <v>2522</v>
      </c>
      <c r="E2">
        <v>1877</v>
      </c>
    </row>
    <row r="3" spans="1:5" x14ac:dyDescent="0.25">
      <c r="A3" t="s">
        <v>1</v>
      </c>
      <c r="B3">
        <v>-242.45</v>
      </c>
      <c r="C3">
        <v>-373.52</v>
      </c>
      <c r="D3">
        <v>3386</v>
      </c>
      <c r="E3">
        <v>8590</v>
      </c>
    </row>
    <row r="5" spans="1:5" x14ac:dyDescent="0.25">
      <c r="A5" t="s">
        <v>7</v>
      </c>
      <c r="B5">
        <f>B2-B3</f>
        <v>-82.19</v>
      </c>
      <c r="C5">
        <f>C2-C3</f>
        <v>638.4079999999999</v>
      </c>
    </row>
    <row r="6" spans="1:5" x14ac:dyDescent="0.25">
      <c r="A6" t="s">
        <v>8</v>
      </c>
      <c r="B6">
        <f>D2-D3</f>
        <v>-864</v>
      </c>
      <c r="C6">
        <f>E2-E3</f>
        <v>-6713</v>
      </c>
    </row>
    <row r="7" spans="1:5" x14ac:dyDescent="0.25">
      <c r="B7">
        <f>B6/B5</f>
        <v>10.512227764934908</v>
      </c>
      <c r="C7">
        <f>C6/C5</f>
        <v>-10.515219107529983</v>
      </c>
    </row>
    <row r="8" spans="1:5" x14ac:dyDescent="0.25">
      <c r="A8" s="1" t="s">
        <v>9</v>
      </c>
      <c r="B8" s="2">
        <f>AVERAGE(ABS(B7),ABS(C7))</f>
        <v>10.513723436232446</v>
      </c>
    </row>
    <row r="10" spans="1:5" x14ac:dyDescent="0.25">
      <c r="A10" t="s">
        <v>10</v>
      </c>
      <c r="B10" t="s">
        <v>2</v>
      </c>
      <c r="C10" t="s">
        <v>11</v>
      </c>
    </row>
    <row r="11" spans="1:5" x14ac:dyDescent="0.25">
      <c r="B11">
        <f>D3-(B3*$B$8)</f>
        <v>5935.0522471145559</v>
      </c>
      <c r="C11">
        <f>E3+(C3*$B$8)</f>
        <v>4662.9140220984573</v>
      </c>
    </row>
    <row r="12" spans="1:5" x14ac:dyDescent="0.25">
      <c r="B12">
        <f>ROUND(B11,0)</f>
        <v>5935</v>
      </c>
      <c r="C12">
        <f>ROUND(C11,0)</f>
        <v>4663</v>
      </c>
    </row>
    <row r="14" spans="1:5" x14ac:dyDescent="0.25">
      <c r="B14">
        <f>B12</f>
        <v>5935</v>
      </c>
      <c r="C14" s="4">
        <f>(B14/$B$8)</f>
        <v>564.50029677847272</v>
      </c>
    </row>
    <row r="15" spans="1:5" x14ac:dyDescent="0.25">
      <c r="B15">
        <f>C12</f>
        <v>4663</v>
      </c>
      <c r="C15" s="4">
        <f>(B15/$B$8)</f>
        <v>443.51556594406372</v>
      </c>
    </row>
    <row r="16" spans="1:5" x14ac:dyDescent="0.25">
      <c r="C16" s="4"/>
    </row>
    <row r="17" spans="2:3" x14ac:dyDescent="0.25">
      <c r="B17">
        <f>12000-B14</f>
        <v>6065</v>
      </c>
      <c r="C17" s="4">
        <f>(B17/$B$8)</f>
        <v>576.86508845180072</v>
      </c>
    </row>
    <row r="18" spans="2:3" x14ac:dyDescent="0.25">
      <c r="B18">
        <f>9993-B15</f>
        <v>5330</v>
      </c>
      <c r="C18" s="4">
        <f>(B18/$B$8)</f>
        <v>506.95645860644646</v>
      </c>
    </row>
    <row r="19" spans="2:3" x14ac:dyDescent="0.25">
      <c r="C19" s="4"/>
    </row>
    <row r="20" spans="2:3" x14ac:dyDescent="0.25">
      <c r="B20">
        <v>68</v>
      </c>
      <c r="C20" s="4">
        <f>(B20/$B$8)</f>
        <v>6.4677371829715495</v>
      </c>
    </row>
    <row r="21" spans="2:3" x14ac:dyDescent="0.25">
      <c r="B21">
        <v>231</v>
      </c>
      <c r="C21" s="4">
        <f>(B21/$B$8)</f>
        <v>21.971283665682762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93CC338862B44382E9B3F2F13AD46B" ma:contentTypeVersion="6" ma:contentTypeDescription="Create a new document." ma:contentTypeScope="" ma:versionID="f10cf37de59e6a0003196fcc67d6da07">
  <xsd:schema xmlns:xsd="http://www.w3.org/2001/XMLSchema" xmlns:xs="http://www.w3.org/2001/XMLSchema" xmlns:p="http://schemas.microsoft.com/office/2006/metadata/properties" xmlns:ns3="609f8e01-2c19-4edf-8afa-0abd3e25191b" targetNamespace="http://schemas.microsoft.com/office/2006/metadata/properties" ma:root="true" ma:fieldsID="5c8e417bc6ab653500fda7bc96d84d7c" ns3:_="">
    <xsd:import namespace="609f8e01-2c19-4edf-8afa-0abd3e25191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9f8e01-2c19-4edf-8afa-0abd3e25191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09f8e01-2c19-4edf-8afa-0abd3e25191b" xsi:nil="true"/>
  </documentManagement>
</p:properties>
</file>

<file path=customXml/itemProps1.xml><?xml version="1.0" encoding="utf-8"?>
<ds:datastoreItem xmlns:ds="http://schemas.openxmlformats.org/officeDocument/2006/customXml" ds:itemID="{06BD068E-BF8D-4B8E-8CD2-C6509A23E5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C9559F-D6D3-4106-A17B-6D7CCB18E9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9f8e01-2c19-4edf-8afa-0abd3e251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BEF504-7461-465B-90B3-E7072618DF24}">
  <ds:schemaRefs>
    <ds:schemaRef ds:uri="http://schemas.microsoft.com/office/2006/documentManagement/types"/>
    <ds:schemaRef ds:uri="609f8e01-2c19-4edf-8afa-0abd3e25191b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Factory</vt:lpstr>
      <vt:lpstr>Customs</vt:lpstr>
      <vt:lpstr>Reserve</vt:lpstr>
      <vt:lpstr>Woods</vt:lpstr>
      <vt:lpstr>Shoreline</vt:lpstr>
      <vt:lpstr>Ground Zero</vt:lpstr>
      <vt:lpstr>Streets</vt:lpstr>
      <vt:lpstr>Interchange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Calcaterra</dc:creator>
  <cp:lastModifiedBy>Nicholas Calcaterra</cp:lastModifiedBy>
  <dcterms:created xsi:type="dcterms:W3CDTF">2026-01-30T23:04:24Z</dcterms:created>
  <dcterms:modified xsi:type="dcterms:W3CDTF">2026-02-01T23:12:46Z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0x0101009B93CC338862B44382E9B3F2F13AD46B</vt:lpwstr>
  </property>
</Properties>
</file>